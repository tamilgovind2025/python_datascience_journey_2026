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Sheet1" sheetId="1" r:id="rId1"/>
  </sheets>
  <definedNames>
    <definedName name="_xlnm._FilterDatabase" localSheetId="0" hidden="1">Sheet1!$A$1:$K$17</definedName>
  </definedNames>
  <calcPr calcId="124519"/>
</workbook>
</file>

<file path=xl/calcChain.xml><?xml version="1.0" encoding="utf-8"?>
<calcChain xmlns="http://schemas.openxmlformats.org/spreadsheetml/2006/main">
  <c r="M12" i="1"/>
  <c r="L3"/>
  <c r="M3" s="1"/>
  <c r="L4"/>
  <c r="M4" s="1"/>
  <c r="L5"/>
  <c r="M5" s="1"/>
  <c r="L6"/>
  <c r="M6" s="1"/>
  <c r="L7"/>
  <c r="M7" s="1"/>
  <c r="L8"/>
  <c r="M8" s="1"/>
  <c r="L9"/>
  <c r="M9" s="1"/>
  <c r="L10"/>
  <c r="M10" s="1"/>
  <c r="L11"/>
  <c r="M11" s="1"/>
  <c r="L12"/>
  <c r="L13"/>
  <c r="M13" s="1"/>
  <c r="L14"/>
  <c r="M14" s="1"/>
  <c r="L15"/>
  <c r="M15" s="1"/>
  <c r="L16"/>
  <c r="M16" s="1"/>
  <c r="L17"/>
  <c r="M17" s="1"/>
  <c r="L2"/>
  <c r="M2" s="1"/>
</calcChain>
</file>

<file path=xl/sharedStrings.xml><?xml version="1.0" encoding="utf-8"?>
<sst xmlns="http://schemas.openxmlformats.org/spreadsheetml/2006/main" count="43" uniqueCount="31">
  <si>
    <t>ID</t>
  </si>
  <si>
    <t>Name</t>
  </si>
  <si>
    <t>Department</t>
  </si>
  <si>
    <t>Year</t>
  </si>
  <si>
    <t>Attendance</t>
  </si>
  <si>
    <t>Math</t>
  </si>
  <si>
    <t>Python</t>
  </si>
  <si>
    <t>DBMS</t>
  </si>
  <si>
    <t>OS</t>
  </si>
  <si>
    <t>CN</t>
  </si>
  <si>
    <t>ML</t>
  </si>
  <si>
    <t>Arun</t>
  </si>
  <si>
    <t>CSE</t>
  </si>
  <si>
    <t>Bala</t>
  </si>
  <si>
    <t>Charan</t>
  </si>
  <si>
    <t>ECE</t>
  </si>
  <si>
    <t>Divya</t>
  </si>
  <si>
    <t>Ezhil</t>
  </si>
  <si>
    <t>EEE</t>
  </si>
  <si>
    <t>Farhan</t>
  </si>
  <si>
    <t>Gokul</t>
  </si>
  <si>
    <t>MECH</t>
  </si>
  <si>
    <t>Harini</t>
  </si>
  <si>
    <t>Ishaan</t>
  </si>
  <si>
    <t>Jeeva</t>
  </si>
  <si>
    <t>Karthik</t>
  </si>
  <si>
    <t>Lavanya</t>
  </si>
  <si>
    <t>Manoj</t>
  </si>
  <si>
    <t>Nandhini</t>
  </si>
  <si>
    <t>Prakash</t>
  </si>
  <si>
    <t>Rahul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</si>
</sst>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selection activeCell="K23" sqref="K23"/>
    </sheetView>
  </sheetViews>
  <sheetFormatPr defaultRowHeight="14.5"/>
  <cols>
    <col min="2" max="2" width="11.54296875" customWidth="1"/>
    <col min="3" max="3" width="15.08984375" customWidth="1"/>
    <col min="4" max="4" width="11.36328125" customWidth="1"/>
    <col min="5" max="5" width="12" customWidth="1"/>
    <col min="6" max="6" width="11.90625" customWidth="1"/>
    <col min="7" max="7" width="12.36328125" customWidth="1"/>
    <col min="8" max="8" width="12.1796875" customWidth="1"/>
    <col min="9" max="9" width="11.6328125" customWidth="1"/>
    <col min="10" max="10" width="11.1796875" customWidth="1"/>
    <col min="11" max="11" width="15.3632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>
      <c r="A2">
        <v>101</v>
      </c>
      <c r="B2" t="s">
        <v>11</v>
      </c>
      <c r="C2" t="s">
        <v>12</v>
      </c>
      <c r="D2">
        <v>3</v>
      </c>
      <c r="E2">
        <v>91.5</v>
      </c>
      <c r="F2">
        <v>88</v>
      </c>
      <c r="G2">
        <v>92</v>
      </c>
      <c r="H2">
        <v>79</v>
      </c>
      <c r="I2">
        <v>85</v>
      </c>
      <c r="J2">
        <v>90</v>
      </c>
      <c r="K2">
        <v>94</v>
      </c>
      <c r="L2">
        <f>SUM(F2:K2)</f>
        <v>528</v>
      </c>
      <c r="M2">
        <f>L2/6</f>
        <v>88</v>
      </c>
    </row>
    <row r="3" spans="1:13">
      <c r="A3">
        <v>102</v>
      </c>
      <c r="B3" t="s">
        <v>13</v>
      </c>
      <c r="C3" t="s">
        <v>12</v>
      </c>
      <c r="D3">
        <v>3</v>
      </c>
      <c r="E3">
        <v>76</v>
      </c>
      <c r="F3">
        <v>72</v>
      </c>
      <c r="G3">
        <v>81</v>
      </c>
      <c r="H3">
        <v>68</v>
      </c>
      <c r="I3">
        <v>75</v>
      </c>
      <c r="J3">
        <v>70</v>
      </c>
      <c r="K3">
        <v>78</v>
      </c>
      <c r="L3">
        <f t="shared" ref="L3:L17" si="0">SUM(F3:K3)</f>
        <v>444</v>
      </c>
      <c r="M3">
        <f t="shared" ref="M3:M17" si="1">L3/6</f>
        <v>74</v>
      </c>
    </row>
    <row r="4" spans="1:13">
      <c r="A4">
        <v>103</v>
      </c>
      <c r="B4" t="s">
        <v>14</v>
      </c>
      <c r="C4" t="s">
        <v>15</v>
      </c>
      <c r="D4">
        <v>2</v>
      </c>
      <c r="E4">
        <v>88.5</v>
      </c>
      <c r="F4">
        <v>95</v>
      </c>
      <c r="G4">
        <v>89</v>
      </c>
      <c r="H4">
        <v>91</v>
      </c>
      <c r="I4">
        <v>87</v>
      </c>
      <c r="J4">
        <v>93</v>
      </c>
      <c r="K4">
        <v>90</v>
      </c>
      <c r="L4">
        <f t="shared" si="0"/>
        <v>545</v>
      </c>
      <c r="M4">
        <f t="shared" si="1"/>
        <v>90.833333333333329</v>
      </c>
    </row>
    <row r="5" spans="1:13">
      <c r="A5">
        <v>104</v>
      </c>
      <c r="B5" t="s">
        <v>16</v>
      </c>
      <c r="C5" t="s">
        <v>12</v>
      </c>
      <c r="D5">
        <v>4</v>
      </c>
      <c r="E5">
        <v>94</v>
      </c>
      <c r="F5">
        <v>82</v>
      </c>
      <c r="G5">
        <v>96</v>
      </c>
      <c r="H5">
        <v>88</v>
      </c>
      <c r="I5">
        <v>91</v>
      </c>
      <c r="J5">
        <v>89</v>
      </c>
      <c r="K5">
        <v>97</v>
      </c>
      <c r="L5">
        <f t="shared" si="0"/>
        <v>543</v>
      </c>
      <c r="M5">
        <f t="shared" si="1"/>
        <v>90.5</v>
      </c>
    </row>
    <row r="6" spans="1:13" s="2" customFormat="1">
      <c r="A6" s="2">
        <v>105</v>
      </c>
      <c r="B6" s="2" t="s">
        <v>17</v>
      </c>
      <c r="C6" s="2" t="s">
        <v>18</v>
      </c>
      <c r="D6" s="2">
        <v>2</v>
      </c>
      <c r="E6" s="2">
        <v>67.5</v>
      </c>
      <c r="F6" s="2">
        <v>65</v>
      </c>
      <c r="G6" s="2">
        <v>74</v>
      </c>
      <c r="H6" s="2">
        <v>71</v>
      </c>
      <c r="I6" s="2">
        <v>69</v>
      </c>
      <c r="J6" s="2">
        <v>62</v>
      </c>
      <c r="K6" s="2">
        <v>70</v>
      </c>
      <c r="L6" s="2">
        <f t="shared" si="0"/>
        <v>411</v>
      </c>
      <c r="M6" s="2">
        <f t="shared" si="1"/>
        <v>68.5</v>
      </c>
    </row>
    <row r="7" spans="1:13">
      <c r="A7">
        <v>106</v>
      </c>
      <c r="B7" t="s">
        <v>19</v>
      </c>
      <c r="C7" t="s">
        <v>15</v>
      </c>
      <c r="D7">
        <v>4</v>
      </c>
      <c r="E7">
        <v>81</v>
      </c>
      <c r="F7">
        <v>91</v>
      </c>
      <c r="G7">
        <v>85</v>
      </c>
      <c r="H7">
        <v>94</v>
      </c>
      <c r="I7">
        <v>88</v>
      </c>
      <c r="J7">
        <v>86</v>
      </c>
      <c r="K7">
        <v>90</v>
      </c>
      <c r="L7">
        <f t="shared" si="0"/>
        <v>534</v>
      </c>
      <c r="M7">
        <f t="shared" si="1"/>
        <v>89</v>
      </c>
    </row>
    <row r="8" spans="1:13" s="2" customFormat="1">
      <c r="A8" s="2">
        <v>107</v>
      </c>
      <c r="B8" s="2" t="s">
        <v>20</v>
      </c>
      <c r="C8" s="2" t="s">
        <v>21</v>
      </c>
      <c r="D8" s="2">
        <v>3</v>
      </c>
      <c r="E8" s="2">
        <v>59.5</v>
      </c>
      <c r="F8" s="2">
        <v>78</v>
      </c>
      <c r="G8" s="2">
        <v>61</v>
      </c>
      <c r="H8" s="2">
        <v>55</v>
      </c>
      <c r="I8" s="2">
        <v>64</v>
      </c>
      <c r="J8" s="2">
        <v>58</v>
      </c>
      <c r="K8" s="2">
        <v>67</v>
      </c>
      <c r="L8" s="2">
        <f t="shared" si="0"/>
        <v>383</v>
      </c>
      <c r="M8" s="2">
        <f t="shared" si="1"/>
        <v>63.833333333333336</v>
      </c>
    </row>
    <row r="9" spans="1:13">
      <c r="A9">
        <v>108</v>
      </c>
      <c r="B9" t="s">
        <v>22</v>
      </c>
      <c r="C9" t="s">
        <v>12</v>
      </c>
      <c r="D9">
        <v>2</v>
      </c>
      <c r="E9">
        <v>97</v>
      </c>
      <c r="F9" s="3">
        <v>99</v>
      </c>
      <c r="G9" s="3">
        <v>95</v>
      </c>
      <c r="H9" s="3">
        <v>96</v>
      </c>
      <c r="I9" s="3">
        <v>94</v>
      </c>
      <c r="J9" s="3">
        <v>98</v>
      </c>
      <c r="K9">
        <v>97</v>
      </c>
      <c r="L9">
        <f t="shared" si="0"/>
        <v>579</v>
      </c>
      <c r="M9">
        <f t="shared" si="1"/>
        <v>96.5</v>
      </c>
    </row>
    <row r="10" spans="1:13">
      <c r="A10">
        <v>109</v>
      </c>
      <c r="B10" t="s">
        <v>23</v>
      </c>
      <c r="C10" t="s">
        <v>15</v>
      </c>
      <c r="D10">
        <v>3</v>
      </c>
      <c r="E10">
        <v>89</v>
      </c>
      <c r="F10">
        <v>86</v>
      </c>
      <c r="G10">
        <v>91</v>
      </c>
      <c r="H10">
        <v>78</v>
      </c>
      <c r="I10">
        <v>82</v>
      </c>
      <c r="J10">
        <v>88</v>
      </c>
      <c r="K10">
        <v>84</v>
      </c>
      <c r="L10">
        <f t="shared" si="0"/>
        <v>509</v>
      </c>
      <c r="M10">
        <f t="shared" si="1"/>
        <v>84.833333333333329</v>
      </c>
    </row>
    <row r="11" spans="1:13" s="2" customFormat="1">
      <c r="A11" s="2">
        <v>110</v>
      </c>
      <c r="B11" s="2" t="s">
        <v>24</v>
      </c>
      <c r="C11" s="2" t="s">
        <v>18</v>
      </c>
      <c r="D11" s="2">
        <v>2</v>
      </c>
      <c r="E11" s="2">
        <v>72.5</v>
      </c>
      <c r="F11" s="2">
        <v>69</v>
      </c>
      <c r="G11" s="2">
        <v>77</v>
      </c>
      <c r="H11" s="2">
        <v>73</v>
      </c>
      <c r="I11" s="2">
        <v>81</v>
      </c>
      <c r="J11" s="2">
        <v>75</v>
      </c>
      <c r="K11" s="2">
        <v>70</v>
      </c>
      <c r="L11" s="2">
        <f t="shared" si="0"/>
        <v>445</v>
      </c>
      <c r="M11" s="2">
        <f t="shared" si="1"/>
        <v>74.166666666666671</v>
      </c>
    </row>
    <row r="12" spans="1:13">
      <c r="A12">
        <v>111</v>
      </c>
      <c r="B12" t="s">
        <v>25</v>
      </c>
      <c r="C12" t="s">
        <v>12</v>
      </c>
      <c r="D12">
        <v>4</v>
      </c>
      <c r="E12">
        <v>96</v>
      </c>
      <c r="F12">
        <v>93</v>
      </c>
      <c r="G12" s="3">
        <v>98</v>
      </c>
      <c r="H12" s="3">
        <v>95</v>
      </c>
      <c r="I12" s="3">
        <v>91</v>
      </c>
      <c r="J12" s="3">
        <v>94</v>
      </c>
      <c r="K12" s="3">
        <v>99</v>
      </c>
      <c r="L12">
        <f t="shared" si="0"/>
        <v>570</v>
      </c>
      <c r="M12">
        <f t="shared" si="1"/>
        <v>95</v>
      </c>
    </row>
    <row r="13" spans="1:13">
      <c r="A13">
        <v>112</v>
      </c>
      <c r="B13" t="s">
        <v>26</v>
      </c>
      <c r="C13" t="s">
        <v>15</v>
      </c>
      <c r="D13">
        <v>2</v>
      </c>
      <c r="E13">
        <v>84.5</v>
      </c>
      <c r="F13">
        <v>88</v>
      </c>
      <c r="G13">
        <v>79</v>
      </c>
      <c r="H13">
        <v>85</v>
      </c>
      <c r="I13">
        <v>90</v>
      </c>
      <c r="J13">
        <v>82</v>
      </c>
      <c r="K13">
        <v>87</v>
      </c>
      <c r="L13">
        <f t="shared" si="0"/>
        <v>511</v>
      </c>
      <c r="M13">
        <f t="shared" si="1"/>
        <v>85.166666666666671</v>
      </c>
    </row>
    <row r="14" spans="1:13" s="2" customFormat="1">
      <c r="A14" s="2">
        <v>113</v>
      </c>
      <c r="B14" s="2" t="s">
        <v>27</v>
      </c>
      <c r="C14" s="2" t="s">
        <v>21</v>
      </c>
      <c r="D14" s="2">
        <v>3</v>
      </c>
      <c r="E14" s="2">
        <v>63</v>
      </c>
      <c r="F14" s="2">
        <v>71</v>
      </c>
      <c r="G14" s="2">
        <v>66</v>
      </c>
      <c r="H14" s="2">
        <v>59</v>
      </c>
      <c r="I14" s="2">
        <v>73</v>
      </c>
      <c r="J14" s="2">
        <v>68</v>
      </c>
      <c r="K14" s="2">
        <v>61</v>
      </c>
      <c r="L14" s="2">
        <f t="shared" si="0"/>
        <v>398</v>
      </c>
      <c r="M14" s="2">
        <f t="shared" si="1"/>
        <v>66.333333333333329</v>
      </c>
    </row>
    <row r="15" spans="1:13">
      <c r="A15">
        <v>114</v>
      </c>
      <c r="B15" t="s">
        <v>28</v>
      </c>
      <c r="C15" t="s">
        <v>12</v>
      </c>
      <c r="D15">
        <v>3</v>
      </c>
      <c r="E15">
        <v>78.5</v>
      </c>
      <c r="F15">
        <v>84</v>
      </c>
      <c r="G15">
        <v>72</v>
      </c>
      <c r="H15">
        <v>80</v>
      </c>
      <c r="I15">
        <v>76</v>
      </c>
      <c r="J15">
        <v>83</v>
      </c>
      <c r="K15">
        <v>79</v>
      </c>
      <c r="L15">
        <f t="shared" si="0"/>
        <v>474</v>
      </c>
      <c r="M15">
        <f t="shared" si="1"/>
        <v>79</v>
      </c>
    </row>
    <row r="16" spans="1:13">
      <c r="A16">
        <v>115</v>
      </c>
      <c r="B16" t="s">
        <v>29</v>
      </c>
      <c r="C16" t="s">
        <v>18</v>
      </c>
      <c r="D16">
        <v>4</v>
      </c>
      <c r="E16">
        <v>91</v>
      </c>
      <c r="F16">
        <v>90</v>
      </c>
      <c r="G16">
        <v>87</v>
      </c>
      <c r="H16">
        <v>92</v>
      </c>
      <c r="I16">
        <v>89</v>
      </c>
      <c r="J16">
        <v>94</v>
      </c>
      <c r="K16">
        <v>86</v>
      </c>
      <c r="L16">
        <f t="shared" si="0"/>
        <v>538</v>
      </c>
      <c r="M16">
        <f t="shared" si="1"/>
        <v>89.666666666666671</v>
      </c>
    </row>
    <row r="17" spans="1:13" s="2" customFormat="1">
      <c r="A17" s="2">
        <v>116</v>
      </c>
      <c r="B17" s="2" t="s">
        <v>30</v>
      </c>
      <c r="C17" s="2" t="s">
        <v>21</v>
      </c>
      <c r="D17" s="2">
        <v>2</v>
      </c>
      <c r="E17" s="2">
        <v>55.5</v>
      </c>
      <c r="F17" s="2">
        <v>62</v>
      </c>
      <c r="G17" s="2">
        <v>58</v>
      </c>
      <c r="H17" s="2">
        <v>65</v>
      </c>
      <c r="I17" s="2">
        <v>54</v>
      </c>
      <c r="J17" s="2">
        <v>61</v>
      </c>
      <c r="K17" s="2">
        <v>57</v>
      </c>
      <c r="L17" s="2">
        <f t="shared" si="0"/>
        <v>357</v>
      </c>
      <c r="M17" s="2">
        <f t="shared" si="1"/>
        <v>59.5</v>
      </c>
    </row>
  </sheetData>
  <autoFilter ref="A1:K17">
    <sortState ref="A2:K17">
      <sortCondition ref="A1:A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Tamilgovind</cp:lastModifiedBy>
  <dcterms:created xsi:type="dcterms:W3CDTF">2026-09-25T14:33:37Z</dcterms:created>
  <dcterms:modified xsi:type="dcterms:W3CDTF">2026-09-25T18:43:11Z</dcterms:modified>
</cp:coreProperties>
</file>